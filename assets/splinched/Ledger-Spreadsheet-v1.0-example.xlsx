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ccounts" sheetId="2" state="visible" r:id="rId4"/>
    <sheet name="Snapshots" sheetId="3" state="visible" r:id="rId5"/>
    <sheet name="Glance" sheetId="4" state="visible" r:id="rId6"/>
    <sheet name="Runway" sheetId="5" state="visible" r:id="rId7"/>
    <sheet name="Recurring" sheetId="6" state="visible" r:id="rId8"/>
    <sheet name="Projection &amp; Sandbox" sheetId="7" state="visible" r:id="rId9"/>
    <sheet name="Milestones" sheetId="8" state="visible" r:id="rId10"/>
  </sheets>
  <definedNames>
    <definedName function="false" hidden="false" name="SCHEMA_VERSION" vbProcedure="false">'Read Me'!$A$4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<sst xmlns="http://schemas.openxmlformats.org/spreadsheetml/2006/main" count="226" uniqueCount="161">
  <si>
    <t xml:space="preserve">The Ledger</t>
  </si>
  <si>
    <t xml:space="preserve">A tool with one job: answer five questions on payday, in five minutes.</t>
  </si>
  <si>
    <t xml:space="preserve">SPREADSHEET FORMAT VERSION</t>
  </si>
  <si>
    <t xml:space="preserve">1.0</t>
  </si>
  <si>
    <t xml:space="preserve">WHAT THIS IS</t>
  </si>
  <si>
    <t xml:space="preserve">The non-coder version of Aaron's private debt-elimination app, from the book Splinched. It is not a budgeting</t>
  </si>
  <si>
    <t xml:space="preserve">app. It does not track every dollar. It answers: what do I owe and how fast is it shrinking, can I cover the</t>
  </si>
  <si>
    <t xml:space="preserve">month, how much can I attack with, where does it go, and did the autopays clear.</t>
  </si>
  <si>
    <t xml:space="preserve">THE TABS</t>
  </si>
  <si>
    <t xml:space="preserve">  • Accounts    — your debts + checking. Edit the blue cells. Current Balance is derived from Snapshots.</t>
  </si>
  <si>
    <t xml:space="preserve">  • Snapshots   — your dated balance history. Add a row each payday; the latest one drives everything.</t>
  </si>
  <si>
    <t xml:space="preserve">  • Glance      — the top-line numbers: total owed, monthly interest burn, projected debt-free date.</t>
  </si>
  <si>
    <t xml:space="preserve">  • Runway      — can you cover what's due before next payday? Enter checking + obligations.</t>
  </si>
  <si>
    <t xml:space="preserve">  • Recurring   — your fixed monthly bills (feeds the runway).</t>
  </si>
  <si>
    <t xml:space="preserve">  • Projection  — the month-by-month avalanche payoff, computed from your accounts. Debt-free date lives here.</t>
  </si>
  <si>
    <t xml:space="preserve">  • Milestones  — your sequenced goals, one current at a time.</t>
  </si>
  <si>
    <t xml:space="preserve">HOW BALANCES WORK</t>
  </si>
  <si>
    <t xml:space="preserve">There is no 'current balance' you type into Accounts. You record dated readings in Snapshots, and the latest</t>
  </si>
  <si>
    <t xml:space="preserve">one for each account becomes its current balance. A balance is a fact about a moment — so we store the history.</t>
  </si>
  <si>
    <t xml:space="preserve">COLOR KEY</t>
  </si>
  <si>
    <t xml:space="preserve">  • Blue text  = an input you can change.      • Black text = a formula.      • Green text = pulled from another tab.</t>
  </si>
  <si>
    <t xml:space="preserve">ABOUT THE PROJECTION &amp; SANDBOX</t>
  </si>
  <si>
    <t xml:space="preserve">Your month-by-month payoff (your debt-free date) and the what-if sandbox are NOT computed in this file. They need</t>
  </si>
  <si>
    <t xml:space="preserve">the same stateful avalanche-cascade logic as the app, which a spreadsheet can't do faithfully. They live in the</t>
  </si>
  <si>
    <t xml:space="preserve">companion Projection &amp; Sandbox tool: point it at this spreadsheet and it computes your real payoff path and lets</t>
  </si>
  <si>
    <t xml:space="preserve">you model what-ifs (extra attack, windfalls, side income) — all locally, nothing leaves your computer.</t>
  </si>
  <si>
    <t xml:space="preserve">FORMAT VERSION &amp; THE TOOL</t>
  </si>
  <si>
    <t xml:space="preserve">The version at the top of this tab is how the companion tool knows your spreadsheet matches it. If the tool was</t>
  </si>
  <si>
    <t xml:space="preserve">updated and expects a newer format, it will say so and point you to the latest bundle (aaronaiken.me/splinched) —</t>
  </si>
  <si>
    <t xml:space="preserve">download the current spreadsheet, copy your data across, and you're current again. Your numbers carry over.</t>
  </si>
  <si>
    <t xml:space="preserve">SEEDED WITH AARON'S REAL NUMBERS (2026-05-26)</t>
  </si>
  <si>
    <t xml:space="preserve">  Total owed: $65,360.89   ·   Monthly interest burn: $394.32   ·   Default monthly attack: $1,000</t>
  </si>
  <si>
    <t xml:space="preserve">Accounts</t>
  </si>
  <si>
    <t xml:space="preserve">Edit the blue cells. Current Balance is derived from the latest Snapshot.</t>
  </si>
  <si>
    <t xml:space="preserve">Slug</t>
  </si>
  <si>
    <t xml:space="preserve">Name</t>
  </si>
  <si>
    <t xml:space="preserve">Type</t>
  </si>
  <si>
    <t xml:space="preserve">Status</t>
  </si>
  <si>
    <t xml:space="preserve">APR %</t>
  </si>
  <si>
    <t xml:space="preserve">Min Payment</t>
  </si>
  <si>
    <t xml:space="preserve">Attack Alloc</t>
  </si>
  <si>
    <t xml:space="preserve">Autopay</t>
  </si>
  <si>
    <t xml:space="preserve">Autopay Amt</t>
  </si>
  <si>
    <t xml:space="preserve">Cadence</t>
  </si>
  <si>
    <t xml:space="preserve">Is Debt?</t>
  </si>
  <si>
    <t xml:space="preserve">Latest Snapshot</t>
  </si>
  <si>
    <t xml:space="preserve">Current Balance</t>
  </si>
  <si>
    <t xml:space="preserve">nordstrom</t>
  </si>
  <si>
    <t xml:space="preserve">Nordstrom</t>
  </si>
  <si>
    <t xml:space="preserve">credit_card</t>
  </si>
  <si>
    <t xml:space="preserve">active</t>
  </si>
  <si>
    <t xml:space="preserve">monthly</t>
  </si>
  <si>
    <t xml:space="preserve">pnc</t>
  </si>
  <si>
    <t xml:space="preserve">PNC</t>
  </si>
  <si>
    <t xml:space="preserve">capital-one</t>
  </si>
  <si>
    <t xml:space="preserve">Capital One</t>
  </si>
  <si>
    <t xml:space="preserve">ikea</t>
  </si>
  <si>
    <t xml:space="preserve">IKEA</t>
  </si>
  <si>
    <t xml:space="preserve">sofi</t>
  </si>
  <si>
    <t xml:space="preserve">SoFi</t>
  </si>
  <si>
    <t xml:space="preserve">loan</t>
  </si>
  <si>
    <t xml:space="preserve">fedloan-student</t>
  </si>
  <si>
    <t xml:space="preserve">FedLoan Student</t>
  </si>
  <si>
    <t xml:space="preserve">student_loan</t>
  </si>
  <si>
    <t xml:space="preserve">unknown</t>
  </si>
  <si>
    <t xml:space="preserve">apple</t>
  </si>
  <si>
    <t xml:space="preserve">Apple</t>
  </si>
  <si>
    <t xml:space="preserve">bnpl</t>
  </si>
  <si>
    <t xml:space="preserve">monthly_eom</t>
  </si>
  <si>
    <t xml:space="preserve">jenius</t>
  </si>
  <si>
    <t xml:space="preserve">Jenius</t>
  </si>
  <si>
    <t xml:space="preserve">biweekly</t>
  </si>
  <si>
    <t xml:space="preserve">paypal</t>
  </si>
  <si>
    <t xml:space="preserve">PayPal</t>
  </si>
  <si>
    <t xml:space="preserve">amex</t>
  </si>
  <si>
    <t xml:space="preserve">Amex</t>
  </si>
  <si>
    <t xml:space="preserve">paid_off</t>
  </si>
  <si>
    <t xml:space="preserve">checking</t>
  </si>
  <si>
    <t xml:space="preserve">Checking</t>
  </si>
  <si>
    <t xml:space="preserve">Snapshots</t>
  </si>
  <si>
    <t xml:space="preserve">Dated balance readings. Add a row each payday — the latest per account is the current balance.</t>
  </si>
  <si>
    <t xml:space="preserve">Account</t>
  </si>
  <si>
    <t xml:space="preserve">Date</t>
  </si>
  <si>
    <t xml:space="preserve">Balance</t>
  </si>
  <si>
    <t xml:space="preserve">Notes</t>
  </si>
  <si>
    <t xml:space="preserve">Seed snapshot (2026-05-26)</t>
  </si>
  <si>
    <t xml:space="preserve">(Checking intentionally not seeded — snapshot it on your first payday.)</t>
  </si>
  <si>
    <t xml:space="preserve">Glance</t>
  </si>
  <si>
    <t xml:space="preserve">Where am I, and what do I do next?</t>
  </si>
  <si>
    <t xml:space="preserve">Total owed</t>
  </si>
  <si>
    <t xml:space="preserve">Monthly interest burn</t>
  </si>
  <si>
    <t xml:space="preserve">Default monthly attack</t>
  </si>
  <si>
    <t xml:space="preserve">Cash runway status</t>
  </si>
  <si>
    <t xml:space="preserve">30-day change</t>
  </si>
  <si>
    <t xml:space="preserve">—</t>
  </si>
  <si>
    <t xml:space="preserve">Projected debt-free date</t>
  </si>
  <si>
    <t xml:space="preserve">→ run the Projection &amp; Sandbox tool</t>
  </si>
  <si>
    <t xml:space="preserve">Total interest to payoff</t>
  </si>
  <si>
    <t xml:space="preserve">30-day change needs a month of history — your first month is the baseline, not zero.</t>
  </si>
  <si>
    <t xml:space="preserve">Your debt-free date and what-if sandbox come from the companion tool, run against this file.</t>
  </si>
  <si>
    <t xml:space="preserve">Cash Runway</t>
  </si>
  <si>
    <t xml:space="preserve">Can you cover what's due before your next payday? Enter checking + the obligations in the window.</t>
  </si>
  <si>
    <t xml:space="preserve">Checking balance (enter)</t>
  </si>
  <si>
    <t xml:space="preserve">Next payday (enter)</t>
  </si>
  <si>
    <t xml:space="preserve">Total obligations before payday</t>
  </si>
  <si>
    <t xml:space="preserve">Free to attack</t>
  </si>
  <si>
    <t xml:space="preserve">Runway status</t>
  </si>
  <si>
    <t xml:space="preserve">Description</t>
  </si>
  <si>
    <t xml:space="preserve">Amount</t>
  </si>
  <si>
    <t xml:space="preserve">Include 1/0</t>
  </si>
  <si>
    <t xml:space="preserve">PNC autopay</t>
  </si>
  <si>
    <t xml:space="preserve">autopay</t>
  </si>
  <si>
    <t xml:space="preserve">Capital One autopay</t>
  </si>
  <si>
    <t xml:space="preserve">IKEA autopay</t>
  </si>
  <si>
    <t xml:space="preserve">SoFi autopay</t>
  </si>
  <si>
    <t xml:space="preserve">Apple autopay</t>
  </si>
  <si>
    <t xml:space="preserve">Jenius autopay</t>
  </si>
  <si>
    <t xml:space="preserve">PayPal autopay</t>
  </si>
  <si>
    <t xml:space="preserve">Set Include=1 for each obligation that actually falls before your next payday. Healthy ≥ $200 free; tight &lt; $200; underwater &lt; $0.</t>
  </si>
  <si>
    <t xml:space="preserve">Recurring Expenses</t>
  </si>
  <si>
    <t xml:space="preserve">Your fixed monthly bills. Keep this current; it feeds the runway.</t>
  </si>
  <si>
    <t xml:space="preserve">Day of Month</t>
  </si>
  <si>
    <t xml:space="preserve">Category</t>
  </si>
  <si>
    <t xml:space="preserve">Active 1/0</t>
  </si>
  <si>
    <t xml:space="preserve">(Day of month: 0 = last day. Example: Rent · 1500 · 1 · Bills · 1)</t>
  </si>
  <si>
    <t xml:space="preserve">Projection &amp; Sandbox</t>
  </si>
  <si>
    <t xml:space="preserve">Your real debt-free date and the what-if sandbox — computed by the companion tool.</t>
  </si>
  <si>
    <t xml:space="preserve">WHY THIS ISN'T A TAB OF FORMULAS</t>
  </si>
  <si>
    <t xml:space="preserve">Projecting a payoff means simulating every month: apply interest, pay minimums, attack the highest-APR debt, and</t>
  </si>
  <si>
    <t xml:space="preserve">when a debt dies, cascade its freed-up payment to the next target. That running, order-dependent state is something</t>
  </si>
  <si>
    <t xml:space="preserve">a spreadsheet can't do faithfully — but it's exactly what the companion Projection &amp; Sandbox tool does.</t>
  </si>
  <si>
    <t xml:space="preserve">HOW TO USE IT</t>
  </si>
  <si>
    <t xml:space="preserve">  1. Keep Accounts and Snapshots clean and current (the tool reads your debts and balances from them).</t>
  </si>
  <si>
    <t xml:space="preserve">  2. Open the Projection &amp; Sandbox tool and point it at this spreadsheet.</t>
  </si>
  <si>
    <t xml:space="preserve">  3. It computes your real month-by-month payoff and your debt-free date — from your numbers, not anyone else's.</t>
  </si>
  <si>
    <t xml:space="preserve">  4. Then play: bump your monthly attack, add a windfall, ramp side income — and watch your debt-free date move.</t>
  </si>
  <si>
    <t xml:space="preserve">WHAT IT READS FROM THIS FILE</t>
  </si>
  <si>
    <t xml:space="preserve">  - Accounts: name, type, status, APR, minimum payment, attack allocation.</t>
  </si>
  <si>
    <t xml:space="preserve">  - Snapshots: your latest balance per account (current balance is derived the same way this workbook does).</t>
  </si>
  <si>
    <t xml:space="preserve">  - Default monthly attack (from Glance).</t>
  </si>
  <si>
    <t xml:space="preserve">PRIVACY</t>
  </si>
  <si>
    <t xml:space="preserve">The tool runs locally on your own machine — your numbers never leave your computer.</t>
  </si>
  <si>
    <t xml:space="preserve">Milestones</t>
  </si>
  <si>
    <t xml:space="preserve">One current at a time. Earlier ones complete; later ones visible but patient.</t>
  </si>
  <si>
    <t xml:space="preserve">#</t>
  </si>
  <si>
    <t xml:space="preserve">Milestone</t>
  </si>
  <si>
    <t xml:space="preserve">Done when (condition)</t>
  </si>
  <si>
    <t xml:space="preserve">Starter buffer</t>
  </si>
  <si>
    <t xml:space="preserve">$1,000 sitting in checking</t>
  </si>
  <si>
    <t xml:space="preserve">current</t>
  </si>
  <si>
    <t xml:space="preserve">Resolve FedLoan</t>
  </si>
  <si>
    <t xml:space="preserve">Student-loan status &amp; minimum known</t>
  </si>
  <si>
    <t xml:space="preserve">locked</t>
  </si>
  <si>
    <t xml:space="preserve">Debt-free</t>
  </si>
  <si>
    <t xml:space="preserve">Total debt at $0</t>
  </si>
  <si>
    <t xml:space="preserve">Full emergency fund</t>
  </si>
  <si>
    <t xml:space="preserve">3 months of expenses in liquid savings</t>
  </si>
  <si>
    <t xml:space="preserve">Lindsay's exit ramp</t>
  </si>
  <si>
    <t xml:space="preserve">Manual — you decide when it's met</t>
  </si>
  <si>
    <t xml:space="preserve">Retirement</t>
  </si>
  <si>
    <t xml:space="preserve">Manual — long horizon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</si>
</sst>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%"/>
    <numFmt numFmtId="166" formatCode="\$#,##0.00"/>
    <numFmt numFmtId="167" formatCode="yyyy\-mm\-dd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2620"/>
      <name val="Calibri"/>
      <family val="0"/>
      <charset val="1"/>
    </font>
    <font>
      <i val="true"/>
      <sz val="9"/>
      <color rgb="FF8F6F3F"/>
      <name val="Calibri"/>
      <family val="0"/>
      <charset val="1"/>
    </font>
    <font>
      <b val="true"/>
      <sz val="9"/>
      <color rgb="FF8F6F3F"/>
      <name val="Calibri"/>
      <family val="0"/>
      <charset val="1"/>
    </font>
    <font>
      <b val="true"/>
      <sz val="13"/>
      <color rgb="FF2C2620"/>
      <name val="Calibri"/>
      <family val="0"/>
      <charset val="1"/>
    </font>
    <font>
      <sz val="10"/>
      <color rgb="FF2C2620"/>
      <name val="Calibri"/>
      <family val="0"/>
      <charset val="1"/>
    </font>
    <font>
      <b val="true"/>
      <sz val="10"/>
      <color rgb="FF8F6F3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CC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6400"/>
      <name val="Calibri"/>
      <family val="0"/>
      <charset val="1"/>
    </font>
    <font>
      <b val="true"/>
      <sz val="11"/>
      <color rgb="FF2C2620"/>
      <name val="Calibri"/>
      <family val="0"/>
      <charset val="1"/>
    </font>
    <font>
      <sz val="12"/>
      <color rgb="FF006400"/>
      <name val="Calibri"/>
      <family val="0"/>
      <charset val="1"/>
    </font>
    <font>
      <sz val="12"/>
      <color rgb="FF0000CC"/>
      <name val="Calibri"/>
      <family val="0"/>
      <charset val="1"/>
    </font>
    <font>
      <sz val="12"/>
      <color rgb="FF2C2620"/>
      <name val="Calibri"/>
      <family val="0"/>
      <charset val="1"/>
    </font>
    <font>
      <i val="true"/>
      <sz val="10"/>
      <color rgb="FF8F6F3F"/>
      <name val="Calibri"/>
      <family val="0"/>
      <charset val="1"/>
    </font>
    <font>
      <sz val="11"/>
      <color rgb="FF0000CC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8F6F3F"/>
      <name val="Calibri"/>
      <family val="0"/>
      <charset val="1"/>
    </font>
    <font>
      <b val="true"/>
      <sz val="10"/>
      <color rgb="FF2C2620"/>
      <name val="Calibri"/>
      <family val="0"/>
      <charset val="1"/>
    </font>
    <font>
      <sz val="10"/>
      <color rgb="FF527E7E"/>
      <name val="Calibri"/>
      <family val="0"/>
      <charset val="1"/>
    </font>
    <font>
      <sz val="10"/>
      <color rgb="FF8F6F3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08D57"/>
        <bgColor rgb="FF8F6F3F"/>
      </patternFill>
    </fill>
    <fill>
      <patternFill patternType="solid">
        <fgColor rgb="FFFFF7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DBFA6"/>
      </bottom>
      <diagonal/>
    </border>
    <border diagonalUp="false" diagonalDown="false">
      <left/>
      <right/>
      <top/>
      <bottom style="thin">
        <color rgb="FFB08D5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400"/>
      <rgbColor rgb="FF000080"/>
      <rgbColor rgb="FF8F6F3F"/>
      <rgbColor rgb="FF800080"/>
      <rgbColor rgb="FF008080"/>
      <rgbColor rgb="FFCDBFA6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7E7E"/>
      <rgbColor rgb="FFB08D57"/>
      <rgbColor rgb="FF003366"/>
      <rgbColor rgb="FF339966"/>
      <rgbColor rgb="FF003300"/>
      <rgbColor rgb="FF333300"/>
      <rgbColor rgb="FF993300"/>
      <rgbColor rgb="FF993366"/>
      <rgbColor rgb="FF333399"/>
      <rgbColor rgb="FF2C2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6.15" hidden="false" customHeight="false" outlineLevel="0" collapsed="false">
      <c r="A4" s="4" t="s">
        <v>3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6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6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5"/>
    </row>
    <row r="25" customFormat="false" ht="15" hidden="false" customHeight="false" outlineLevel="0" collapsed="false">
      <c r="A25" s="6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6" t="s">
        <v>21</v>
      </c>
    </row>
    <row r="29" customFormat="false" ht="15" hidden="false" customHeight="false" outlineLevel="0" collapsed="false">
      <c r="A29" s="5" t="s">
        <v>22</v>
      </c>
    </row>
    <row r="30" customFormat="false" ht="15" hidden="false" customHeight="false" outlineLevel="0" collapsed="false">
      <c r="A30" s="5" t="s">
        <v>23</v>
      </c>
    </row>
    <row r="31" customFormat="false" ht="15" hidden="false" customHeight="false" outlineLevel="0" collapsed="false">
      <c r="A31" s="5" t="s">
        <v>24</v>
      </c>
    </row>
    <row r="32" customFormat="false" ht="15" hidden="false" customHeight="false" outlineLevel="0" collapsed="false">
      <c r="A32" s="5" t="s">
        <v>25</v>
      </c>
    </row>
    <row r="33" customFormat="false" ht="15" hidden="false" customHeight="false" outlineLevel="0" collapsed="false">
      <c r="A33" s="5"/>
    </row>
    <row r="34" customFormat="false" ht="15" hidden="false" customHeight="false" outlineLevel="0" collapsed="false">
      <c r="A34" s="6" t="s">
        <v>26</v>
      </c>
    </row>
    <row r="35" customFormat="false" ht="15" hidden="false" customHeight="false" outlineLevel="0" collapsed="false">
      <c r="A35" s="5" t="s">
        <v>27</v>
      </c>
    </row>
    <row r="36" customFormat="false" ht="15" hidden="false" customHeight="false" outlineLevel="0" collapsed="false">
      <c r="A36" s="5" t="s">
        <v>28</v>
      </c>
    </row>
    <row r="37" customFormat="false" ht="15" hidden="false" customHeight="false" outlineLevel="0" collapsed="false">
      <c r="A37" s="5" t="s">
        <v>29</v>
      </c>
    </row>
    <row r="38" customFormat="false" ht="15" hidden="false" customHeight="false" outlineLevel="0" collapsed="false">
      <c r="A38" s="5"/>
    </row>
    <row r="39" customFormat="false" ht="15" hidden="false" customHeight="false" outlineLevel="0" collapsed="false">
      <c r="A39" s="6" t="s">
        <v>30</v>
      </c>
    </row>
    <row r="40" customFormat="false" ht="15" hidden="false" customHeight="false" outlineLevel="0" collapsed="false">
      <c r="A40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3" min="12" style="0" width="15"/>
  </cols>
  <sheetData>
    <row r="1" customFormat="false" ht="22.0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45</v>
      </c>
      <c r="M4" s="7" t="s">
        <v>46</v>
      </c>
    </row>
    <row r="5" customFormat="false" ht="15" hidden="false" customHeight="false" outlineLevel="0" collapsed="false">
      <c r="A5" s="8" t="s">
        <v>47</v>
      </c>
      <c r="B5" s="8" t="s">
        <v>48</v>
      </c>
      <c r="C5" s="8" t="s">
        <v>49</v>
      </c>
      <c r="D5" s="8" t="s">
        <v>50</v>
      </c>
      <c r="E5" s="9" t="n">
        <v>30.15</v>
      </c>
      <c r="F5" s="10" t="n">
        <v>0</v>
      </c>
      <c r="G5" s="8" t="n">
        <v>0</v>
      </c>
      <c r="H5" s="8" t="n">
        <v>1</v>
      </c>
      <c r="I5" s="10" t="n">
        <v>0</v>
      </c>
      <c r="J5" s="8" t="s">
        <v>51</v>
      </c>
      <c r="K5" s="11" t="n">
        <f aca="false">IF(AND(OR($D5="active",$D5="unknown"),$C5&lt;&gt;"checking",$C5&lt;&gt;"savings"),1,0)</f>
        <v>1</v>
      </c>
      <c r="L5" s="12" t="n">
        <f aca="false">IF(COUNTIF(Snapshots!$A$5:$A$200,$A5)=0,"",SUMPRODUCT(MAX((Snapshots!$A$5:$A$200=$A5)*Snapshots!$C$5:$C$200)))</f>
        <v>46168</v>
      </c>
      <c r="M5" s="13" t="n">
        <f aca="false">IF(COUNTIF(Snapshots!$A$5:$A$200,$A5)=0,0,SUMPRODUCT((Snapshots!$A$5:$A$200=$A5)*(Snapshots!$C$5:$C$200=$L5)*Snapshots!$D$5:$D$200))</f>
        <v>161.89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49</v>
      </c>
      <c r="D6" s="8" t="s">
        <v>50</v>
      </c>
      <c r="E6" s="9" t="n">
        <v>29.24</v>
      </c>
      <c r="F6" s="10" t="n">
        <v>192</v>
      </c>
      <c r="G6" s="8" t="n">
        <v>1000</v>
      </c>
      <c r="H6" s="8" t="n">
        <v>1</v>
      </c>
      <c r="I6" s="10" t="n">
        <v>192</v>
      </c>
      <c r="J6" s="8" t="s">
        <v>51</v>
      </c>
      <c r="K6" s="11" t="n">
        <f aca="false">IF(AND(OR($D6="active",$D6="unknown"),$C6&lt;&gt;"checking",$C6&lt;&gt;"savings"),1,0)</f>
        <v>1</v>
      </c>
      <c r="L6" s="12" t="n">
        <f aca="false">IF(COUNTIF(Snapshots!$A$5:$A$200,$A6)=0,"",SUMPRODUCT(MAX((Snapshots!$A$5:$A$200=$A6)*Snapshots!$C$5:$C$200)))</f>
        <v>46168</v>
      </c>
      <c r="M6" s="13" t="n">
        <f aca="false">IF(COUNTIF(Snapshots!$A$5:$A$200,$A6)=0,0,SUMPRODUCT((Snapshots!$A$5:$A$200=$A6)*(Snapshots!$C$5:$C$200=$L6)*Snapshots!$D$5:$D$200))</f>
        <v>5801.79</v>
      </c>
    </row>
    <row r="7" customFormat="false" ht="15" hidden="false" customHeight="false" outlineLevel="0" collapsed="false">
      <c r="A7" s="8" t="s">
        <v>54</v>
      </c>
      <c r="B7" s="8" t="s">
        <v>55</v>
      </c>
      <c r="C7" s="8" t="s">
        <v>49</v>
      </c>
      <c r="D7" s="8" t="s">
        <v>50</v>
      </c>
      <c r="E7" s="9" t="n">
        <v>28.49</v>
      </c>
      <c r="F7" s="10" t="n">
        <v>84</v>
      </c>
      <c r="G7" s="8" t="n">
        <v>0</v>
      </c>
      <c r="H7" s="8" t="n">
        <v>1</v>
      </c>
      <c r="I7" s="10" t="n">
        <v>84</v>
      </c>
      <c r="J7" s="8" t="s">
        <v>51</v>
      </c>
      <c r="K7" s="11" t="n">
        <f aca="false">IF(AND(OR($D7="active",$D7="unknown"),$C7&lt;&gt;"checking",$C7&lt;&gt;"savings"),1,0)</f>
        <v>1</v>
      </c>
      <c r="L7" s="12" t="n">
        <f aca="false">IF(COUNTIF(Snapshots!$A$5:$A$200,$A7)=0,"",SUMPRODUCT(MAX((Snapshots!$A$5:$A$200=$A7)*Snapshots!$C$5:$C$200)))</f>
        <v>46168</v>
      </c>
      <c r="M7" s="13" t="n">
        <f aca="false">IF(COUNTIF(Snapshots!$A$5:$A$200,$A7)=0,0,SUMPRODUCT((Snapshots!$A$5:$A$200=$A7)*(Snapshots!$C$5:$C$200=$L7)*Snapshots!$D$5:$D$200))</f>
        <v>2461.27</v>
      </c>
    </row>
    <row r="8" customFormat="false" ht="15" hidden="false" customHeight="false" outlineLevel="0" collapsed="false">
      <c r="A8" s="8" t="s">
        <v>56</v>
      </c>
      <c r="B8" s="8" t="s">
        <v>57</v>
      </c>
      <c r="C8" s="8" t="s">
        <v>49</v>
      </c>
      <c r="D8" s="8" t="s">
        <v>50</v>
      </c>
      <c r="E8" s="9" t="n">
        <v>21.99</v>
      </c>
      <c r="F8" s="10" t="n">
        <v>36</v>
      </c>
      <c r="G8" s="8" t="n">
        <v>0</v>
      </c>
      <c r="H8" s="8" t="n">
        <v>1</v>
      </c>
      <c r="I8" s="10" t="n">
        <v>36</v>
      </c>
      <c r="J8" s="8" t="s">
        <v>51</v>
      </c>
      <c r="K8" s="11" t="n">
        <f aca="false">IF(AND(OR($D8="active",$D8="unknown"),$C8&lt;&gt;"checking",$C8&lt;&gt;"savings"),1,0)</f>
        <v>1</v>
      </c>
      <c r="L8" s="12" t="n">
        <f aca="false">IF(COUNTIF(Snapshots!$A$5:$A$200,$A8)=0,"",SUMPRODUCT(MAX((Snapshots!$A$5:$A$200=$A8)*Snapshots!$C$5:$C$200)))</f>
        <v>46168</v>
      </c>
      <c r="M8" s="13" t="n">
        <f aca="false">IF(COUNTIF(Snapshots!$A$5:$A$200,$A8)=0,0,SUMPRODUCT((Snapshots!$A$5:$A$200=$A8)*(Snapshots!$C$5:$C$200=$L8)*Snapshots!$D$5:$D$200))</f>
        <v>1012.24</v>
      </c>
    </row>
    <row r="9" customFormat="false" ht="15" hidden="false" customHeight="false" outlineLevel="0" collapsed="false">
      <c r="A9" s="8" t="s">
        <v>58</v>
      </c>
      <c r="B9" s="8" t="s">
        <v>59</v>
      </c>
      <c r="C9" s="8" t="s">
        <v>60</v>
      </c>
      <c r="D9" s="8" t="s">
        <v>50</v>
      </c>
      <c r="E9" s="9" t="n">
        <v>14.41</v>
      </c>
      <c r="F9" s="10" t="n">
        <v>310.97</v>
      </c>
      <c r="G9" s="8" t="n">
        <v>0</v>
      </c>
      <c r="H9" s="8" t="n">
        <v>1</v>
      </c>
      <c r="I9" s="10" t="n">
        <v>310.97</v>
      </c>
      <c r="J9" s="8" t="s">
        <v>51</v>
      </c>
      <c r="K9" s="11" t="n">
        <f aca="false">IF(AND(OR($D9="active",$D9="unknown"),$C9&lt;&gt;"checking",$C9&lt;&gt;"savings"),1,0)</f>
        <v>1</v>
      </c>
      <c r="L9" s="12" t="n">
        <f aca="false">IF(COUNTIF(Snapshots!$A$5:$A$200,$A9)=0,"",SUMPRODUCT(MAX((Snapshots!$A$5:$A$200=$A9)*Snapshots!$C$5:$C$200)))</f>
        <v>46168</v>
      </c>
      <c r="M9" s="13" t="n">
        <f aca="false">IF(COUNTIF(Snapshots!$A$5:$A$200,$A9)=0,0,SUMPRODUCT((Snapshots!$A$5:$A$200=$A9)*(Snapshots!$C$5:$C$200=$L9)*Snapshots!$D$5:$D$200))</f>
        <v>5979.44</v>
      </c>
    </row>
    <row r="10" customFormat="false" ht="15" hidden="false" customHeight="false" outlineLevel="0" collapsed="false">
      <c r="A10" s="8" t="s">
        <v>61</v>
      </c>
      <c r="B10" s="8" t="s">
        <v>62</v>
      </c>
      <c r="C10" s="8" t="s">
        <v>63</v>
      </c>
      <c r="D10" s="8" t="s">
        <v>64</v>
      </c>
      <c r="E10" s="9" t="n">
        <v>5</v>
      </c>
      <c r="F10" s="10" t="n">
        <v>0</v>
      </c>
      <c r="G10" s="8" t="n">
        <v>0</v>
      </c>
      <c r="H10" s="8" t="n">
        <v>0</v>
      </c>
      <c r="I10" s="10" t="n">
        <v>0</v>
      </c>
      <c r="J10" s="8"/>
      <c r="K10" s="11" t="n">
        <f aca="false">IF(AND(OR($D10="active",$D10="unknown"),$C10&lt;&gt;"checking",$C10&lt;&gt;"savings"),1,0)</f>
        <v>1</v>
      </c>
      <c r="L10" s="12" t="n">
        <f aca="false">IF(COUNTIF(Snapshots!$A$5:$A$200,$A10)=0,"",SUMPRODUCT(MAX((Snapshots!$A$5:$A$200=$A10)*Snapshots!$C$5:$C$200)))</f>
        <v>46168</v>
      </c>
      <c r="M10" s="13" t="n">
        <f aca="false">IF(COUNTIF(Snapshots!$A$5:$A$200,$A10)=0,0,SUMPRODUCT((Snapshots!$A$5:$A$200=$A10)*(Snapshots!$C$5:$C$200=$L10)*Snapshots!$D$5:$D$200))</f>
        <v>24022</v>
      </c>
    </row>
    <row r="11" customFormat="false" ht="15" hidden="false" customHeight="false" outlineLevel="0" collapsed="false">
      <c r="A11" s="8" t="s">
        <v>65</v>
      </c>
      <c r="B11" s="8" t="s">
        <v>66</v>
      </c>
      <c r="C11" s="8" t="s">
        <v>67</v>
      </c>
      <c r="D11" s="8" t="s">
        <v>50</v>
      </c>
      <c r="E11" s="9" t="n">
        <v>0</v>
      </c>
      <c r="F11" s="10" t="n">
        <v>375.55</v>
      </c>
      <c r="G11" s="8" t="n">
        <v>0</v>
      </c>
      <c r="H11" s="8" t="n">
        <v>1</v>
      </c>
      <c r="I11" s="10" t="n">
        <v>375.55</v>
      </c>
      <c r="J11" s="8" t="s">
        <v>68</v>
      </c>
      <c r="K11" s="11" t="n">
        <f aca="false">IF(AND(OR($D11="active",$D11="unknown"),$C11&lt;&gt;"checking",$C11&lt;&gt;"savings"),1,0)</f>
        <v>1</v>
      </c>
      <c r="L11" s="12" t="n">
        <f aca="false">IF(COUNTIF(Snapshots!$A$5:$A$200,$A11)=0,"",SUMPRODUCT(MAX((Snapshots!$A$5:$A$200=$A11)*Snapshots!$C$5:$C$200)))</f>
        <v>46168</v>
      </c>
      <c r="M11" s="13" t="n">
        <f aca="false">IF(COUNTIF(Snapshots!$A$5:$A$200,$A11)=0,0,SUMPRODUCT((Snapshots!$A$5:$A$200=$A11)*(Snapshots!$C$5:$C$200=$L11)*Snapshots!$D$5:$D$200))</f>
        <v>18112.91</v>
      </c>
    </row>
    <row r="12" customFormat="false" ht="15" hidden="false" customHeight="false" outlineLevel="0" collapsed="false">
      <c r="A12" s="8" t="s">
        <v>69</v>
      </c>
      <c r="B12" s="8" t="s">
        <v>70</v>
      </c>
      <c r="C12" s="8" t="s">
        <v>49</v>
      </c>
      <c r="D12" s="8" t="s">
        <v>50</v>
      </c>
      <c r="E12" s="9" t="n">
        <v>0</v>
      </c>
      <c r="F12" s="10" t="n">
        <v>200</v>
      </c>
      <c r="G12" s="8" t="n">
        <v>0</v>
      </c>
      <c r="H12" s="8" t="n">
        <v>1</v>
      </c>
      <c r="I12" s="10" t="n">
        <v>200</v>
      </c>
      <c r="J12" s="8" t="s">
        <v>71</v>
      </c>
      <c r="K12" s="11" t="n">
        <f aca="false">IF(AND(OR($D12="active",$D12="unknown"),$C12&lt;&gt;"checking",$C12&lt;&gt;"savings"),1,0)</f>
        <v>1</v>
      </c>
      <c r="L12" s="12" t="n">
        <f aca="false">IF(COUNTIF(Snapshots!$A$5:$A$200,$A12)=0,"",SUMPRODUCT(MAX((Snapshots!$A$5:$A$200=$A12)*Snapshots!$C$5:$C$200)))</f>
        <v>46168</v>
      </c>
      <c r="M12" s="13" t="n">
        <f aca="false">IF(COUNTIF(Snapshots!$A$5:$A$200,$A12)=0,0,SUMPRODUCT((Snapshots!$A$5:$A$200=$A12)*(Snapshots!$C$5:$C$200=$L12)*Snapshots!$D$5:$D$200))</f>
        <v>5075.84</v>
      </c>
    </row>
    <row r="13" customFormat="false" ht="15" hidden="false" customHeight="false" outlineLevel="0" collapsed="false">
      <c r="A13" s="8" t="s">
        <v>72</v>
      </c>
      <c r="B13" s="8" t="s">
        <v>73</v>
      </c>
      <c r="C13" s="8" t="s">
        <v>67</v>
      </c>
      <c r="D13" s="8" t="s">
        <v>50</v>
      </c>
      <c r="E13" s="9" t="n">
        <v>0</v>
      </c>
      <c r="F13" s="10" t="n">
        <v>75</v>
      </c>
      <c r="G13" s="8" t="n">
        <v>0</v>
      </c>
      <c r="H13" s="8" t="n">
        <v>1</v>
      </c>
      <c r="I13" s="10" t="n">
        <v>75</v>
      </c>
      <c r="J13" s="8" t="s">
        <v>51</v>
      </c>
      <c r="K13" s="11" t="n">
        <f aca="false">IF(AND(OR($D13="active",$D13="unknown"),$C13&lt;&gt;"checking",$C13&lt;&gt;"savings"),1,0)</f>
        <v>1</v>
      </c>
      <c r="L13" s="12" t="n">
        <f aca="false">IF(COUNTIF(Snapshots!$A$5:$A$200,$A13)=0,"",SUMPRODUCT(MAX((Snapshots!$A$5:$A$200=$A13)*Snapshots!$C$5:$C$200)))</f>
        <v>46168</v>
      </c>
      <c r="M13" s="13" t="n">
        <f aca="false">IF(COUNTIF(Snapshots!$A$5:$A$200,$A13)=0,0,SUMPRODUCT((Snapshots!$A$5:$A$200=$A13)*(Snapshots!$C$5:$C$200=$L13)*Snapshots!$D$5:$D$200))</f>
        <v>2733.51</v>
      </c>
    </row>
    <row r="14" customFormat="false" ht="15" hidden="false" customHeight="false" outlineLevel="0" collapsed="false">
      <c r="A14" s="8" t="s">
        <v>74</v>
      </c>
      <c r="B14" s="8" t="s">
        <v>75</v>
      </c>
      <c r="C14" s="8" t="s">
        <v>49</v>
      </c>
      <c r="D14" s="8" t="s">
        <v>76</v>
      </c>
      <c r="E14" s="9" t="n">
        <v>29.99</v>
      </c>
      <c r="F14" s="10" t="n">
        <v>0</v>
      </c>
      <c r="G14" s="8" t="n">
        <v>0</v>
      </c>
      <c r="H14" s="8" t="n">
        <v>0</v>
      </c>
      <c r="I14" s="10" t="n">
        <v>0</v>
      </c>
      <c r="J14" s="8"/>
      <c r="K14" s="11" t="n">
        <f aca="false">IF(AND(OR($D14="active",$D14="unknown"),$C14&lt;&gt;"checking",$C14&lt;&gt;"savings"),1,0)</f>
        <v>0</v>
      </c>
      <c r="L14" s="12" t="n">
        <f aca="false">IF(COUNTIF(Snapshots!$A$5:$A$200,$A14)=0,"",SUMPRODUCT(MAX((Snapshots!$A$5:$A$200=$A14)*Snapshots!$C$5:$C$200)))</f>
        <v>46168</v>
      </c>
      <c r="M14" s="13" t="n">
        <f aca="false">IF(COUNTIF(Snapshots!$A$5:$A$200,$A14)=0,0,SUMPRODUCT((Snapshots!$A$5:$A$200=$A14)*(Snapshots!$C$5:$C$200=$L14)*Snapshots!$D$5:$D$200))</f>
        <v>0</v>
      </c>
    </row>
    <row r="15" customFormat="false" ht="15" hidden="false" customHeight="false" outlineLevel="0" collapsed="false">
      <c r="A15" s="8" t="s">
        <v>77</v>
      </c>
      <c r="B15" s="8" t="s">
        <v>78</v>
      </c>
      <c r="C15" s="8" t="s">
        <v>77</v>
      </c>
      <c r="D15" s="8" t="s">
        <v>50</v>
      </c>
      <c r="E15" s="9" t="n">
        <v>0</v>
      </c>
      <c r="F15" s="10" t="n">
        <v>0</v>
      </c>
      <c r="G15" s="8" t="n">
        <v>0</v>
      </c>
      <c r="H15" s="8" t="n">
        <v>0</v>
      </c>
      <c r="I15" s="10" t="n">
        <v>0</v>
      </c>
      <c r="J15" s="8"/>
      <c r="K15" s="11" t="n">
        <f aca="false">IF(AND(OR($D15="active",$D15="unknown"),$C15&lt;&gt;"checking",$C15&lt;&gt;"savings"),1,0)</f>
        <v>0</v>
      </c>
      <c r="L15" s="12" t="str">
        <f aca="false">IF(COUNTIF(Snapshots!$A$5:$A$200,$A15)=0,"",SUMPRODUCT(MAX((Snapshots!$A$5:$A$200=$A15)*Snapshots!$C$5:$C$200)))</f>
        <v/>
      </c>
      <c r="M15" s="13" t="n">
        <f aca="false">IF(COUNTIF(Snapshots!$A$5:$A$200,$A15)=0,0,SUMPRODUCT((Snapshots!$A$5:$A$200=$A15)*(Snapshots!$C$5:$C$200=$L15)*Snapshots!$D$5:$D$200))</f>
        <v>0</v>
      </c>
    </row>
  </sheetData>
  <dataValidations count="3">
    <dataValidation allowBlank="true" errorStyle="stop" operator="between" showDropDown="false" showErrorMessage="false" showInputMessage="false" sqref="C5:C15" type="list">
      <formula1>"credit_card,loan,student_loan,bnpl,checking,savings"</formula1>
      <formula2>0</formula2>
    </dataValidation>
    <dataValidation allowBlank="true" errorStyle="stop" operator="between" showDropDown="false" showErrorMessage="false" showInputMessage="false" sqref="D5:D15" type="list">
      <formula1>"active,unknown,paid_off,closed"</formula1>
      <formula2>0</formula2>
    </dataValidation>
    <dataValidation allowBlank="true" errorStyle="stop" operator="between" showDropDown="false" showErrorMessage="false" showInputMessage="false" sqref="H5:H15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22.0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7" t="s">
        <v>34</v>
      </c>
      <c r="B4" s="7" t="s">
        <v>81</v>
      </c>
      <c r="C4" s="7" t="s">
        <v>82</v>
      </c>
      <c r="D4" s="7" t="s">
        <v>83</v>
      </c>
      <c r="E4" s="7" t="s">
        <v>84</v>
      </c>
    </row>
    <row r="5" customFormat="false" ht="15" hidden="false" customHeight="false" outlineLevel="0" collapsed="false">
      <c r="A5" s="8" t="s">
        <v>47</v>
      </c>
      <c r="B5" s="8" t="s">
        <v>48</v>
      </c>
      <c r="C5" s="14" t="n">
        <v>46168</v>
      </c>
      <c r="D5" s="10" t="n">
        <v>161.89</v>
      </c>
      <c r="E5" s="15" t="s">
        <v>85</v>
      </c>
    </row>
    <row r="6" customFormat="false" ht="15" hidden="false" customHeight="false" outlineLevel="0" collapsed="false">
      <c r="A6" s="8" t="s">
        <v>52</v>
      </c>
      <c r="B6" s="8" t="s">
        <v>53</v>
      </c>
      <c r="C6" s="14" t="n">
        <v>46168</v>
      </c>
      <c r="D6" s="10" t="n">
        <v>5801.79</v>
      </c>
      <c r="E6" s="15" t="s">
        <v>85</v>
      </c>
    </row>
    <row r="7" customFormat="false" ht="15" hidden="false" customHeight="false" outlineLevel="0" collapsed="false">
      <c r="A7" s="8" t="s">
        <v>54</v>
      </c>
      <c r="B7" s="8" t="s">
        <v>55</v>
      </c>
      <c r="C7" s="14" t="n">
        <v>46168</v>
      </c>
      <c r="D7" s="10" t="n">
        <v>2461.27</v>
      </c>
      <c r="E7" s="15" t="s">
        <v>85</v>
      </c>
    </row>
    <row r="8" customFormat="false" ht="15" hidden="false" customHeight="false" outlineLevel="0" collapsed="false">
      <c r="A8" s="8" t="s">
        <v>56</v>
      </c>
      <c r="B8" s="8" t="s">
        <v>57</v>
      </c>
      <c r="C8" s="14" t="n">
        <v>46168</v>
      </c>
      <c r="D8" s="10" t="n">
        <v>1012.24</v>
      </c>
      <c r="E8" s="15" t="s">
        <v>85</v>
      </c>
    </row>
    <row r="9" customFormat="false" ht="15" hidden="false" customHeight="false" outlineLevel="0" collapsed="false">
      <c r="A9" s="8" t="s">
        <v>58</v>
      </c>
      <c r="B9" s="8" t="s">
        <v>59</v>
      </c>
      <c r="C9" s="14" t="n">
        <v>46168</v>
      </c>
      <c r="D9" s="10" t="n">
        <v>5979.44</v>
      </c>
      <c r="E9" s="15" t="s">
        <v>85</v>
      </c>
    </row>
    <row r="10" customFormat="false" ht="15" hidden="false" customHeight="false" outlineLevel="0" collapsed="false">
      <c r="A10" s="8" t="s">
        <v>61</v>
      </c>
      <c r="B10" s="8" t="s">
        <v>62</v>
      </c>
      <c r="C10" s="14" t="n">
        <v>46168</v>
      </c>
      <c r="D10" s="10" t="n">
        <v>24022</v>
      </c>
      <c r="E10" s="15" t="s">
        <v>85</v>
      </c>
    </row>
    <row r="11" customFormat="false" ht="15" hidden="false" customHeight="false" outlineLevel="0" collapsed="false">
      <c r="A11" s="8" t="s">
        <v>65</v>
      </c>
      <c r="B11" s="8" t="s">
        <v>66</v>
      </c>
      <c r="C11" s="14" t="n">
        <v>46168</v>
      </c>
      <c r="D11" s="10" t="n">
        <v>18112.91</v>
      </c>
      <c r="E11" s="15" t="s">
        <v>85</v>
      </c>
    </row>
    <row r="12" customFormat="false" ht="15" hidden="false" customHeight="false" outlineLevel="0" collapsed="false">
      <c r="A12" s="8" t="s">
        <v>69</v>
      </c>
      <c r="B12" s="8" t="s">
        <v>70</v>
      </c>
      <c r="C12" s="14" t="n">
        <v>46168</v>
      </c>
      <c r="D12" s="10" t="n">
        <v>5075.84</v>
      </c>
      <c r="E12" s="15" t="s">
        <v>85</v>
      </c>
    </row>
    <row r="13" customFormat="false" ht="15" hidden="false" customHeight="false" outlineLevel="0" collapsed="false">
      <c r="A13" s="8" t="s">
        <v>72</v>
      </c>
      <c r="B13" s="8" t="s">
        <v>73</v>
      </c>
      <c r="C13" s="14" t="n">
        <v>46168</v>
      </c>
      <c r="D13" s="10" t="n">
        <v>2733.51</v>
      </c>
      <c r="E13" s="15" t="s">
        <v>85</v>
      </c>
    </row>
    <row r="14" customFormat="false" ht="15" hidden="false" customHeight="false" outlineLevel="0" collapsed="false">
      <c r="A14" s="8" t="s">
        <v>74</v>
      </c>
      <c r="B14" s="8" t="s">
        <v>75</v>
      </c>
      <c r="C14" s="14" t="n">
        <v>46168</v>
      </c>
      <c r="D14" s="10" t="n">
        <v>0</v>
      </c>
      <c r="E14" s="15" t="s">
        <v>85</v>
      </c>
    </row>
    <row r="16" customFormat="false" ht="15" hidden="false" customHeight="false" outlineLevel="0" collapsed="false">
      <c r="A16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</cols>
  <sheetData>
    <row r="1" customFormat="false" ht="22.0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6" t="s">
        <v>89</v>
      </c>
      <c r="B4" s="17" t="n">
        <f aca="false">SUMPRODUCT(Accounts!$K$5:$K$15,Accounts!$M$5:$M$15)</f>
        <v>65360.89</v>
      </c>
    </row>
    <row r="5" customFormat="false" ht="15" hidden="false" customHeight="false" outlineLevel="0" collapsed="false">
      <c r="A5" s="16" t="s">
        <v>90</v>
      </c>
      <c r="B5" s="17" t="n">
        <f aca="false">SUMPRODUCT(Accounts!$K$5:$K$15,Accounts!$M$5:$M$15,Accounts!$E$5:$E$15)/1200</f>
        <v>394.3164945</v>
      </c>
    </row>
    <row r="6" customFormat="false" ht="15" hidden="false" customHeight="false" outlineLevel="0" collapsed="false">
      <c r="A6" s="16" t="s">
        <v>91</v>
      </c>
      <c r="B6" s="18" t="n">
        <f aca="false">1000</f>
        <v>1000</v>
      </c>
    </row>
    <row r="7" customFormat="false" ht="15" hidden="false" customHeight="false" outlineLevel="0" collapsed="false">
      <c r="A7" s="16" t="s">
        <v>92</v>
      </c>
      <c r="B7" s="19" t="str">
        <f aca="false">Runway!$B$8</f>
        <v>unknown</v>
      </c>
    </row>
    <row r="8" customFormat="false" ht="15" hidden="false" customHeight="false" outlineLevel="0" collapsed="false">
      <c r="A8" s="16" t="s">
        <v>93</v>
      </c>
      <c r="B8" s="20" t="s">
        <v>94</v>
      </c>
    </row>
    <row r="9" customFormat="false" ht="15" hidden="false" customHeight="false" outlineLevel="0" collapsed="false">
      <c r="A9" s="16" t="s">
        <v>95</v>
      </c>
      <c r="B9" s="21" t="s">
        <v>96</v>
      </c>
    </row>
    <row r="10" customFormat="false" ht="15" hidden="false" customHeight="false" outlineLevel="0" collapsed="false">
      <c r="A10" s="16" t="s">
        <v>97</v>
      </c>
      <c r="B10" s="21" t="s">
        <v>96</v>
      </c>
    </row>
    <row r="12" customFormat="false" ht="15" hidden="false" customHeight="false" outlineLevel="0" collapsed="false">
      <c r="A12" s="2" t="s">
        <v>98</v>
      </c>
    </row>
    <row r="13" customFormat="false" ht="15" hidden="false" customHeight="false" outlineLevel="0" collapsed="false">
      <c r="A13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22.0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22" t="s">
        <v>102</v>
      </c>
      <c r="B4" s="23"/>
    </row>
    <row r="5" customFormat="false" ht="15" hidden="false" customHeight="false" outlineLevel="0" collapsed="false">
      <c r="A5" s="22" t="s">
        <v>103</v>
      </c>
      <c r="B5" s="24"/>
    </row>
    <row r="6" customFormat="false" ht="15" hidden="false" customHeight="false" outlineLevel="0" collapsed="false">
      <c r="A6" s="22" t="s">
        <v>104</v>
      </c>
      <c r="B6" s="25" t="n">
        <f aca="false">SUMPRODUCT($C$11:$C$25,$D$11:$D$25)</f>
        <v>0</v>
      </c>
    </row>
    <row r="7" customFormat="false" ht="15" hidden="false" customHeight="false" outlineLevel="0" collapsed="false">
      <c r="A7" s="22" t="s">
        <v>105</v>
      </c>
      <c r="B7" s="26" t="str">
        <f aca="false">IF($B$4="","",$B$4-$B$6)</f>
        <v/>
      </c>
    </row>
    <row r="8" customFormat="false" ht="15" hidden="false" customHeight="false" outlineLevel="0" collapsed="false">
      <c r="A8" s="22" t="s">
        <v>106</v>
      </c>
      <c r="B8" s="27" t="str">
        <f aca="false">IF($B$4="","unknown",IF($B$7&lt;0,"underwater",IF($B$7&lt;200,"tight","healthy")))</f>
        <v>unknown</v>
      </c>
    </row>
    <row r="10" customFormat="false" ht="15" hidden="false" customHeight="false" outlineLevel="0" collapsed="false">
      <c r="A10" s="28" t="s">
        <v>107</v>
      </c>
      <c r="B10" s="28" t="s">
        <v>36</v>
      </c>
      <c r="C10" s="28" t="s">
        <v>108</v>
      </c>
      <c r="D10" s="28" t="s">
        <v>109</v>
      </c>
    </row>
    <row r="11" customFormat="false" ht="15" hidden="false" customHeight="false" outlineLevel="0" collapsed="false">
      <c r="A11" s="8" t="s">
        <v>110</v>
      </c>
      <c r="B11" s="8" t="s">
        <v>111</v>
      </c>
      <c r="C11" s="10" t="n">
        <v>192</v>
      </c>
      <c r="D11" s="8" t="n">
        <v>0</v>
      </c>
    </row>
    <row r="12" customFormat="false" ht="15" hidden="false" customHeight="false" outlineLevel="0" collapsed="false">
      <c r="A12" s="8" t="s">
        <v>112</v>
      </c>
      <c r="B12" s="8" t="s">
        <v>111</v>
      </c>
      <c r="C12" s="10" t="n">
        <v>84</v>
      </c>
      <c r="D12" s="8" t="n">
        <v>0</v>
      </c>
    </row>
    <row r="13" customFormat="false" ht="15" hidden="false" customHeight="false" outlineLevel="0" collapsed="false">
      <c r="A13" s="8" t="s">
        <v>113</v>
      </c>
      <c r="B13" s="8" t="s">
        <v>111</v>
      </c>
      <c r="C13" s="10" t="n">
        <v>36</v>
      </c>
      <c r="D13" s="8" t="n">
        <v>0</v>
      </c>
    </row>
    <row r="14" customFormat="false" ht="15" hidden="false" customHeight="false" outlineLevel="0" collapsed="false">
      <c r="A14" s="8" t="s">
        <v>114</v>
      </c>
      <c r="B14" s="8" t="s">
        <v>111</v>
      </c>
      <c r="C14" s="10" t="n">
        <v>310.97</v>
      </c>
      <c r="D14" s="8" t="n">
        <v>0</v>
      </c>
    </row>
    <row r="15" customFormat="false" ht="15" hidden="false" customHeight="false" outlineLevel="0" collapsed="false">
      <c r="A15" s="8" t="s">
        <v>115</v>
      </c>
      <c r="B15" s="8" t="s">
        <v>111</v>
      </c>
      <c r="C15" s="10" t="n">
        <v>375.55</v>
      </c>
      <c r="D15" s="8" t="n">
        <v>0</v>
      </c>
    </row>
    <row r="16" customFormat="false" ht="15" hidden="false" customHeight="false" outlineLevel="0" collapsed="false">
      <c r="A16" s="8" t="s">
        <v>116</v>
      </c>
      <c r="B16" s="8" t="s">
        <v>111</v>
      </c>
      <c r="C16" s="10" t="n">
        <v>200</v>
      </c>
      <c r="D16" s="8" t="n">
        <v>0</v>
      </c>
    </row>
    <row r="17" customFormat="false" ht="15" hidden="false" customHeight="false" outlineLevel="0" collapsed="false">
      <c r="A17" s="8" t="s">
        <v>117</v>
      </c>
      <c r="B17" s="8" t="s">
        <v>111</v>
      </c>
      <c r="C17" s="10" t="n">
        <v>75</v>
      </c>
      <c r="D17" s="8" t="n">
        <v>0</v>
      </c>
    </row>
    <row r="27" customFormat="false" ht="15" hidden="false" customHeight="false" outlineLevel="0" collapsed="false">
      <c r="A27" s="2" t="s">
        <v>118</v>
      </c>
    </row>
  </sheetData>
  <dataValidations count="1">
    <dataValidation allowBlank="true" errorStyle="stop" operator="between" showDropDown="false" showErrorMessage="false" showInputMessage="false" sqref="D11:D25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7" t="s">
        <v>35</v>
      </c>
      <c r="B4" s="7" t="s">
        <v>108</v>
      </c>
      <c r="C4" s="7" t="s">
        <v>121</v>
      </c>
      <c r="D4" s="7" t="s">
        <v>122</v>
      </c>
      <c r="E4" s="7" t="s">
        <v>123</v>
      </c>
    </row>
    <row r="5" customFormat="false" ht="15" hidden="false" customHeight="false" outlineLevel="0" collapsed="false">
      <c r="A5" s="8"/>
      <c r="B5" s="10"/>
      <c r="C5" s="8"/>
      <c r="D5" s="8"/>
      <c r="E5" s="8"/>
    </row>
    <row r="6" customFormat="false" ht="15" hidden="false" customHeight="false" outlineLevel="0" collapsed="false">
      <c r="A6" s="8"/>
      <c r="B6" s="10"/>
      <c r="C6" s="8"/>
      <c r="D6" s="8"/>
      <c r="E6" s="8"/>
    </row>
    <row r="7" customFormat="false" ht="15" hidden="false" customHeight="false" outlineLevel="0" collapsed="false">
      <c r="A7" s="8"/>
      <c r="B7" s="10"/>
      <c r="C7" s="8"/>
      <c r="D7" s="8"/>
      <c r="E7" s="8"/>
    </row>
    <row r="8" customFormat="false" ht="15" hidden="false" customHeight="false" outlineLevel="0" collapsed="false">
      <c r="A8" s="8"/>
      <c r="B8" s="10"/>
      <c r="C8" s="8"/>
      <c r="D8" s="8"/>
      <c r="E8" s="8"/>
    </row>
    <row r="9" customFormat="false" ht="15" hidden="false" customHeight="false" outlineLevel="0" collapsed="false">
      <c r="A9" s="8"/>
      <c r="B9" s="10"/>
      <c r="C9" s="8"/>
      <c r="D9" s="8"/>
      <c r="E9" s="8"/>
    </row>
    <row r="10" customFormat="false" ht="15" hidden="false" customHeight="false" outlineLevel="0" collapsed="false">
      <c r="A10" s="8"/>
      <c r="B10" s="10"/>
      <c r="C10" s="8"/>
      <c r="D10" s="8"/>
      <c r="E10" s="8"/>
    </row>
    <row r="11" customFormat="false" ht="15" hidden="false" customHeight="false" outlineLevel="0" collapsed="false">
      <c r="A11" s="8"/>
      <c r="B11" s="10"/>
      <c r="C11" s="8"/>
      <c r="D11" s="8"/>
      <c r="E11" s="8"/>
    </row>
    <row r="12" customFormat="false" ht="15" hidden="false" customHeight="false" outlineLevel="0" collapsed="false">
      <c r="A12" s="8"/>
      <c r="B12" s="10"/>
      <c r="C12" s="8"/>
      <c r="D12" s="8"/>
      <c r="E12" s="8"/>
    </row>
    <row r="13" customFormat="false" ht="15" hidden="false" customHeight="false" outlineLevel="0" collapsed="false">
      <c r="A13" s="8"/>
      <c r="B13" s="10"/>
      <c r="C13" s="8"/>
      <c r="D13" s="8"/>
      <c r="E13" s="8"/>
    </row>
    <row r="14" customFormat="false" ht="15" hidden="false" customHeight="false" outlineLevel="0" collapsed="false">
      <c r="A14" s="8"/>
      <c r="B14" s="10"/>
      <c r="C14" s="8"/>
      <c r="D14" s="8"/>
      <c r="E14" s="8"/>
    </row>
    <row r="15" customFormat="false" ht="15" hidden="false" customHeight="false" outlineLevel="0" collapsed="false">
      <c r="A15" s="8"/>
      <c r="B15" s="10"/>
      <c r="C15" s="8"/>
      <c r="D15" s="8"/>
      <c r="E15" s="8"/>
    </row>
    <row r="17" customFormat="false" ht="15" hidden="false" customHeight="false" outlineLevel="0" collapsed="false">
      <c r="A17" s="2" t="s">
        <v>124</v>
      </c>
    </row>
  </sheetData>
  <dataValidations count="2">
    <dataValidation allowBlank="true" errorStyle="stop" operator="between" showDropDown="false" showErrorMessage="false" showInputMessage="false" sqref="E5:E15" type="list">
      <formula1>"0,1"</formula1>
      <formula2>0</formula2>
    </dataValidation>
    <dataValidation allowBlank="true" errorStyle="stop" operator="between" showDropDown="false" showErrorMessage="false" showInputMessage="false" sqref="C5:C15" type="whole">
      <formula1>0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4"/>
  </cols>
  <sheetData>
    <row r="1" customFormat="false" ht="22.0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127</v>
      </c>
    </row>
    <row r="6" customFormat="false" ht="15" hidden="false" customHeight="false" outlineLevel="0" collapsed="false">
      <c r="A6" s="5" t="s">
        <v>128</v>
      </c>
    </row>
    <row r="7" customFormat="false" ht="15" hidden="false" customHeight="false" outlineLevel="0" collapsed="false">
      <c r="A7" s="5" t="s">
        <v>129</v>
      </c>
    </row>
    <row r="8" customFormat="false" ht="15" hidden="false" customHeight="false" outlineLevel="0" collapsed="false">
      <c r="A8" s="5" t="s">
        <v>130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6" t="s">
        <v>131</v>
      </c>
    </row>
    <row r="11" customFormat="false" ht="15" hidden="false" customHeight="false" outlineLevel="0" collapsed="false">
      <c r="A11" s="5" t="s">
        <v>132</v>
      </c>
    </row>
    <row r="12" customFormat="false" ht="15" hidden="false" customHeight="false" outlineLevel="0" collapsed="false">
      <c r="A12" s="5" t="s">
        <v>133</v>
      </c>
    </row>
    <row r="13" customFormat="false" ht="15" hidden="false" customHeight="false" outlineLevel="0" collapsed="false">
      <c r="A13" s="5" t="s">
        <v>134</v>
      </c>
    </row>
    <row r="14" customFormat="false" ht="15" hidden="false" customHeight="false" outlineLevel="0" collapsed="false">
      <c r="A14" s="5" t="s">
        <v>135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6" t="s">
        <v>136</v>
      </c>
    </row>
    <row r="17" customFormat="false" ht="15" hidden="false" customHeight="false" outlineLevel="0" collapsed="false">
      <c r="A17" s="5" t="s">
        <v>137</v>
      </c>
    </row>
    <row r="18" customFormat="false" ht="15" hidden="false" customHeight="false" outlineLevel="0" collapsed="false">
      <c r="A18" s="5" t="s">
        <v>138</v>
      </c>
    </row>
    <row r="19" customFormat="false" ht="15" hidden="false" customHeight="false" outlineLevel="0" collapsed="false">
      <c r="A19" s="5" t="s">
        <v>139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6" t="s">
        <v>140</v>
      </c>
    </row>
    <row r="22" customFormat="false" ht="15" hidden="false" customHeight="false" outlineLevel="0" collapsed="false">
      <c r="A22" s="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4"/>
  </cols>
  <sheetData>
    <row r="1" customFormat="false" ht="22.0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7" t="s">
        <v>144</v>
      </c>
      <c r="B4" s="7" t="s">
        <v>145</v>
      </c>
      <c r="C4" s="7" t="s">
        <v>146</v>
      </c>
      <c r="D4" s="7" t="s">
        <v>37</v>
      </c>
    </row>
    <row r="5" customFormat="false" ht="15" hidden="false" customHeight="false" outlineLevel="0" collapsed="false">
      <c r="A5" s="29" t="n">
        <v>1</v>
      </c>
      <c r="B5" s="30" t="s">
        <v>147</v>
      </c>
      <c r="C5" s="31" t="s">
        <v>148</v>
      </c>
      <c r="D5" s="32" t="s">
        <v>149</v>
      </c>
    </row>
    <row r="6" customFormat="false" ht="15" hidden="false" customHeight="false" outlineLevel="0" collapsed="false">
      <c r="A6" s="29" t="n">
        <v>2</v>
      </c>
      <c r="B6" s="30" t="s">
        <v>150</v>
      </c>
      <c r="C6" s="31" t="s">
        <v>151</v>
      </c>
      <c r="D6" s="33" t="s">
        <v>152</v>
      </c>
    </row>
    <row r="7" customFormat="false" ht="15" hidden="false" customHeight="false" outlineLevel="0" collapsed="false">
      <c r="A7" s="29" t="n">
        <v>3</v>
      </c>
      <c r="B7" s="30" t="s">
        <v>153</v>
      </c>
      <c r="C7" s="31" t="s">
        <v>154</v>
      </c>
      <c r="D7" s="33" t="s">
        <v>152</v>
      </c>
    </row>
    <row r="8" customFormat="false" ht="15" hidden="false" customHeight="false" outlineLevel="0" collapsed="false">
      <c r="A8" s="29" t="n">
        <v>4</v>
      </c>
      <c r="B8" s="30" t="s">
        <v>155</v>
      </c>
      <c r="C8" s="31" t="s">
        <v>156</v>
      </c>
      <c r="D8" s="33" t="s">
        <v>152</v>
      </c>
    </row>
    <row r="9" customFormat="false" ht="15" hidden="false" customHeight="false" outlineLevel="0" collapsed="false">
      <c r="A9" s="29" t="n">
        <v>5</v>
      </c>
      <c r="B9" s="30" t="s">
        <v>157</v>
      </c>
      <c r="C9" s="31" t="s">
        <v>158</v>
      </c>
      <c r="D9" s="33" t="s">
        <v>152</v>
      </c>
    </row>
    <row r="10" customFormat="false" ht="15" hidden="false" customHeight="false" outlineLevel="0" collapsed="false">
      <c r="A10" s="29" t="n">
        <v>6</v>
      </c>
      <c r="B10" s="30" t="s">
        <v>159</v>
      </c>
      <c r="C10" s="31" t="s">
        <v>160</v>
      </c>
      <c r="D10" s="3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2026-06-09T16:13:03Z</dcterms:created>
  <dc:creator>openpyxl</dc:creator>
  <dc:description/>
  <dc:language>en-US</dc:language>
  <cp:lastModifiedBy/>
  <dcterms:modified xsi:type="dcterms:W3CDTF">2026-06-09T16:13:03Z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